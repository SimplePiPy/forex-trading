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ote" sheetId="1" state="visible" r:id="rId1"/>
    <sheet name="Read Me" sheetId="2" state="visible" r:id="rId2"/>
  </sheets>
  <definedNames/>
  <calcPr calcId="124519" fullCalcOnLoad="1"/>
</workbook>
</file>

<file path=xl/styles.xml><?xml version="1.0" encoding="utf-8"?>
<styleSheet xmlns="http://schemas.openxmlformats.org/spreadsheetml/2006/main">
  <numFmts count="3">
    <numFmt numFmtId="164" formatCode="mm/dd/yyyy"/>
    <numFmt numFmtId="165" formatCode="0.0"/>
    <numFmt numFmtId="166" formatCode="$#,##0;($#,##0);-"/>
  </numFmts>
  <fonts count="12">
    <font>
      <name val="Calibri"/>
      <family val="2"/>
      <color theme="1"/>
      <sz val="11"/>
      <scheme val="minor"/>
    </font>
    <font>
      <name val="Arial"/>
      <b val="1"/>
      <color rgb="001B1A16"/>
      <sz val="18"/>
    </font>
    <font>
      <name val="Arial"/>
      <i val="1"/>
      <color rgb="00666666"/>
      <sz val="9"/>
    </font>
    <font>
      <name val="Arial"/>
      <b val="1"/>
      <sz val="11"/>
    </font>
    <font>
      <name val="Arial"/>
      <color rgb="00666666"/>
      <sz val="9"/>
    </font>
    <font>
      <name val="Arial"/>
      <b val="1"/>
      <color rgb="00FFFFFF"/>
      <sz val="12"/>
    </font>
    <font>
      <name val="Arial"/>
      <sz val="11"/>
    </font>
    <font>
      <name val="Arial"/>
      <color rgb="000000FF"/>
      <sz val="11"/>
    </font>
    <font>
      <name val="Arial"/>
      <b val="1"/>
      <color rgb="00FFFFFF"/>
      <sz val="14"/>
    </font>
    <font>
      <name val="Arial"/>
      <b val="1"/>
      <color rgb="002F5D3A"/>
      <sz val="11"/>
    </font>
    <font>
      <name val="Arial"/>
      <b val="1"/>
      <color rgb="002F5D3A"/>
      <sz val="12"/>
    </font>
    <font>
      <name val="Courier New"/>
      <sz val="10"/>
    </font>
  </fonts>
  <fills count="6">
    <fill>
      <patternFill/>
    </fill>
    <fill>
      <patternFill patternType="gray125"/>
    </fill>
    <fill>
      <patternFill patternType="solid">
        <fgColor rgb="002F5D3A"/>
      </patternFill>
    </fill>
    <fill>
      <patternFill patternType="solid">
        <fgColor rgb="00FFF3CC"/>
      </patternFill>
    </fill>
    <fill>
      <patternFill patternType="solid">
        <fgColor rgb="00EDEFE8"/>
      </patternFill>
    </fill>
    <fill>
      <patternFill patternType="solid">
        <fgColor rgb="00E2601A"/>
      </patternFill>
    </fill>
  </fills>
  <borders count="2">
    <border>
      <left/>
      <right/>
      <top/>
      <bottom/>
      <diagonal/>
    </border>
    <border>
      <left style="thin">
        <color rgb="00C8CCC2"/>
      </left>
      <right style="thin">
        <color rgb="00C8CCC2"/>
      </right>
      <top style="thin">
        <color rgb="00C8CCC2"/>
      </top>
      <bottom style="thin">
        <color rgb="00C8CCC2"/>
      </bottom>
    </border>
  </borders>
  <cellStyleXfs count="1">
    <xf numFmtId="0" fontId="0" fillId="0" borderId="0"/>
  </cellStyleXfs>
  <cellXfs count="32">
    <xf numFmtId="0" fontId="0" fillId="0" borderId="0" pivotButton="0" quotePrefix="0" xfId="0"/>
    <xf numFmtId="0" fontId="1" fillId="0" borderId="0" pivotButton="0" quotePrefix="0" xfId="0"/>
    <xf numFmtId="0" fontId="3" fillId="0" borderId="0" pivotButton="0" quotePrefix="0" xfId="0"/>
    <xf numFmtId="0" fontId="2" fillId="0" borderId="0" pivotButton="0" quotePrefix="0" xfId="0"/>
    <xf numFmtId="0" fontId="4" fillId="0" borderId="0" pivotButton="0" quotePrefix="0" xfId="0"/>
    <xf numFmtId="0" fontId="5" fillId="2" borderId="0" applyAlignment="1" pivotButton="0" quotePrefix="0" xfId="0">
      <alignment vertical="center" indent="1"/>
    </xf>
    <xf numFmtId="0" fontId="0" fillId="2" borderId="0" pivotButton="0" quotePrefix="0" xfId="0"/>
    <xf numFmtId="0" fontId="6" fillId="0" borderId="0" applyAlignment="1" pivotButton="0" quotePrefix="0" xfId="0">
      <alignment indent="1"/>
    </xf>
    <xf numFmtId="0" fontId="7" fillId="3" borderId="1" applyAlignment="1" pivotButton="0" quotePrefix="0" xfId="0">
      <alignment indent="1"/>
    </xf>
    <xf numFmtId="0" fontId="0" fillId="3" borderId="1" pivotButton="0" quotePrefix="0" xfId="0"/>
    <xf numFmtId="164" fontId="7" fillId="3" borderId="1" applyAlignment="1" pivotButton="0" quotePrefix="0" xfId="0">
      <alignment horizontal="left" indent="1"/>
    </xf>
    <xf numFmtId="0" fontId="3" fillId="0" borderId="0" applyAlignment="1" pivotButton="0" quotePrefix="0" xfId="0">
      <alignment horizontal="right" indent="1"/>
    </xf>
    <xf numFmtId="0" fontId="7" fillId="3" borderId="1" applyAlignment="1" pivotButton="0" quotePrefix="0" xfId="0">
      <alignment horizontal="right" indent="1"/>
    </xf>
    <xf numFmtId="0" fontId="3" fillId="0" borderId="0" applyAlignment="1" pivotButton="0" quotePrefix="0" xfId="0">
      <alignment indent="1"/>
    </xf>
    <xf numFmtId="165" fontId="3" fillId="0" borderId="1" applyAlignment="1" pivotButton="0" quotePrefix="0" xfId="0">
      <alignment horizontal="right" indent="1"/>
    </xf>
    <xf numFmtId="9" fontId="7" fillId="3" borderId="1" applyAlignment="1" pivotButton="0" quotePrefix="0" xfId="0">
      <alignment horizontal="right" indent="1"/>
    </xf>
    <xf numFmtId="165" fontId="6" fillId="0" borderId="1" applyAlignment="1" pivotButton="0" quotePrefix="0" xfId="0">
      <alignment horizontal="right" indent="1"/>
    </xf>
    <xf numFmtId="166" fontId="7" fillId="3" borderId="1" applyAlignment="1" pivotButton="0" quotePrefix="0" xfId="0">
      <alignment horizontal="right" indent="1"/>
    </xf>
    <xf numFmtId="166" fontId="3" fillId="0" borderId="1" applyAlignment="1" pivotButton="0" quotePrefix="0" xfId="0">
      <alignment horizontal="right" indent="1"/>
    </xf>
    <xf numFmtId="2" fontId="7" fillId="3" borderId="1" applyAlignment="1" pivotButton="0" quotePrefix="0" xfId="0">
      <alignment horizontal="right" indent="1"/>
    </xf>
    <xf numFmtId="0" fontId="4" fillId="0" borderId="0" applyAlignment="1" pivotButton="0" quotePrefix="0" xfId="0">
      <alignment horizontal="center"/>
    </xf>
    <xf numFmtId="166" fontId="3" fillId="4" borderId="1" applyAlignment="1" pivotButton="0" quotePrefix="0" xfId="0">
      <alignment horizontal="right" indent="1"/>
    </xf>
    <xf numFmtId="166" fontId="6" fillId="0" borderId="1" applyAlignment="1" pivotButton="0" quotePrefix="0" xfId="0">
      <alignment horizontal="right" indent="1"/>
    </xf>
    <xf numFmtId="0" fontId="8" fillId="5" borderId="0" applyAlignment="1" pivotButton="0" quotePrefix="0" xfId="0">
      <alignment vertical="center" indent="1"/>
    </xf>
    <xf numFmtId="0" fontId="0" fillId="5" borderId="0" pivotButton="0" quotePrefix="0" xfId="0"/>
    <xf numFmtId="166" fontId="8" fillId="5" borderId="0" applyAlignment="1" pivotButton="0" quotePrefix="0" xfId="0">
      <alignment horizontal="right" vertical="center" indent="1"/>
    </xf>
    <xf numFmtId="0" fontId="9" fillId="0" borderId="0" pivotButton="0" quotePrefix="0" xfId="0"/>
    <xf numFmtId="0" fontId="1" fillId="0" borderId="0" applyAlignment="1" pivotButton="0" quotePrefix="0" xfId="0">
      <alignment vertical="top"/>
    </xf>
    <xf numFmtId="0" fontId="6" fillId="0" borderId="0" applyAlignment="1" pivotButton="0" quotePrefix="0" xfId="0">
      <alignment vertical="top"/>
    </xf>
    <xf numFmtId="0" fontId="2" fillId="0" borderId="0" applyAlignment="1" pivotButton="0" quotePrefix="0" xfId="0">
      <alignment vertical="top"/>
    </xf>
    <xf numFmtId="0" fontId="10" fillId="0" borderId="0" applyAlignment="1" pivotButton="0" quotePrefix="0" xfId="0">
      <alignment vertical="top"/>
    </xf>
    <xf numFmtId="0" fontId="11"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Quote Sheet</author>
  </authors>
  <commentList>
    <comment ref="B13" authorId="0" shapeId="0">
      <text>
        <t>Time in the tree or in the bucket. The skilled hours.</t>
      </text>
    </comment>
    <comment ref="B14" authorId="0" shapeId="0">
      <text>
        <t>Groundies, rope work, moving brush to the chipper.</t>
      </text>
    </comment>
    <comment ref="B18" authorId="0" shapeId="0">
      <text>
        <t>You are always optimistic. Every job finds something. Do not delete this line.</t>
      </text>
    </comment>
    <comment ref="B20" authorId="0" shapeId="0">
      <text>
        <t>Wage + payroll tax + workers comp + benefits. NOT what you pay him per hour. Usually 1.4x to 1.9x the wage.</t>
      </text>
    </comment>
    <comment ref="B24" authorId="0" shapeId="0">
      <text>
        <t>1.0 = truck and chipper park under it.
1.25 = some carrying, tight gate.
1.5 = everything hand-carried a long way.
2.0 = backyard, no gate access, hand carry everything.</t>
      </text>
    </comment>
    <comment ref="B50" authorId="0" shapeId="0">
      <text>
        <t>Insurance, truck payments, fuel, phone, the office, the stuff that costs money whether you work or not. Take last year's overhead divided by last year's revenue. Most tree companies land between 15% and 30%.</t>
      </text>
    </comment>
    <comment ref="B51" authorId="0" shapeId="0">
      <text>
        <t>This is not your pay. Your pay is in the labor line. This is the company's profit. Below 15% you are buying yourself a job.</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B2:G63"/>
  <sheetViews>
    <sheetView showGridLines="0" workbookViewId="0">
      <pane ySplit="4" topLeftCell="A5" activePane="bottomLeft" state="frozen"/>
      <selection pane="bottomLeft" activeCell="A1" sqref="A1"/>
    </sheetView>
  </sheetViews>
  <sheetFormatPr baseColWidth="8" defaultRowHeight="15"/>
  <cols>
    <col width="3" customWidth="1" min="1" max="1"/>
    <col width="34" customWidth="1" min="2" max="2"/>
    <col width="15" customWidth="1" min="3" max="3"/>
    <col width="15" customWidth="1" min="4" max="4"/>
    <col width="15" customWidth="1" min="5" max="5"/>
    <col width="3" customWidth="1" min="6" max="6"/>
    <col width="38" customWidth="1" min="7" max="7"/>
  </cols>
  <sheetData>
    <row r="2" ht="24" customHeight="1">
      <c r="B2" s="1" t="inlineStr">
        <is>
          <t>TREE JOB QUOTE SHEET</t>
        </is>
      </c>
      <c r="G2" s="2" t="inlineStr">
        <is>
          <t>HOW TO USE THIS</t>
        </is>
      </c>
    </row>
    <row r="3">
      <c r="B3" s="3" t="inlineStr">
        <is>
          <t>Four numbers. Three minutes. Send it the same day.</t>
        </is>
      </c>
      <c r="G3" s="4" t="inlineStr">
        <is>
          <t>1. Only type in the yellow cells. Everything</t>
        </is>
      </c>
    </row>
    <row r="4">
      <c r="G4" s="4" t="inlineStr">
        <is>
          <t xml:space="preserve">    else calculates itself.</t>
        </is>
      </c>
    </row>
    <row r="5" ht="22" customHeight="1">
      <c r="B5" s="5" t="inlineStr">
        <is>
          <t>THE JOB</t>
        </is>
      </c>
      <c r="C5" s="6" t="n"/>
      <c r="D5" s="6" t="n"/>
      <c r="E5" s="6" t="n"/>
      <c r="G5" s="4" t="inlineStr">
        <is>
          <t>2. Work top to bottom. It takes 3 minutes.</t>
        </is>
      </c>
    </row>
    <row r="6">
      <c r="B6" s="7" t="inlineStr">
        <is>
          <t>Customer</t>
        </is>
      </c>
      <c r="C6" s="8" t="inlineStr">
        <is>
          <t>Sample: Oakdale Mobile Home Park</t>
        </is>
      </c>
      <c r="D6" s="9" t="n"/>
      <c r="E6" s="9" t="n"/>
      <c r="G6" s="4" t="inlineStr">
        <is>
          <t>3. The number you send the customer is in</t>
        </is>
      </c>
    </row>
    <row r="7">
      <c r="B7" s="7" t="inlineStr">
        <is>
          <t>Address</t>
        </is>
      </c>
      <c r="C7" s="8" t="inlineStr">
        <is>
          <t>123 Example Rd</t>
        </is>
      </c>
      <c r="D7" s="9" t="n"/>
      <c r="E7" s="9" t="n"/>
      <c r="G7" s="4" t="inlineStr">
        <is>
          <t xml:space="preserve">    the orange box at the bottom.</t>
        </is>
      </c>
    </row>
    <row r="8">
      <c r="B8" s="7" t="inlineStr">
        <is>
          <t>Date walked</t>
        </is>
      </c>
      <c r="C8" s="10">
        <f>TODAY()</f>
        <v/>
      </c>
      <c r="D8" s="9" t="n"/>
      <c r="E8" s="9" t="n"/>
      <c r="G8" s="4" t="inlineStr">
        <is>
          <t>4. Send it the SAME DAY you walk the job.</t>
        </is>
      </c>
    </row>
    <row r="9">
      <c r="B9" s="7" t="inlineStr">
        <is>
          <t>What they want</t>
        </is>
      </c>
      <c r="C9" s="8" t="inlineStr">
        <is>
          <t>3 removals, 1 over a carport</t>
        </is>
      </c>
      <c r="D9" s="9" t="n"/>
      <c r="E9" s="9" t="n"/>
      <c r="G9" s="4" t="inlineStr">
        <is>
          <t xml:space="preserve">    Same day is the part that wins the job.</t>
        </is>
      </c>
    </row>
    <row r="10">
      <c r="G10" s="4" t="inlineStr"/>
    </row>
    <row r="11" ht="22" customHeight="1">
      <c r="B11" s="5" t="inlineStr">
        <is>
          <t>1 . MAN HOURS</t>
        </is>
      </c>
      <c r="C11" s="6" t="n"/>
      <c r="D11" s="6" t="n"/>
      <c r="E11" s="6" t="n"/>
      <c r="G11" s="4" t="inlineStr">
        <is>
          <t>The example numbers below are a real-shaped</t>
        </is>
      </c>
    </row>
    <row r="12">
      <c r="C12" s="11" t="inlineStr">
        <is>
          <t>Crew size</t>
        </is>
      </c>
      <c r="D12" s="11" t="inlineStr">
        <is>
          <t>Hours</t>
        </is>
      </c>
      <c r="E12" s="11" t="inlineStr">
        <is>
          <t>Cost</t>
        </is>
      </c>
      <c r="G12" s="4" t="inlineStr">
        <is>
          <t>job. Overwrite them with yours.</t>
        </is>
      </c>
    </row>
    <row r="13">
      <c r="B13" s="7" t="inlineStr">
        <is>
          <t>Climbing / aerial time</t>
        </is>
      </c>
      <c r="C13" s="12" t="n">
        <v>2</v>
      </c>
      <c r="D13" s="12" t="n">
        <v>6</v>
      </c>
    </row>
    <row r="14">
      <c r="B14" s="7" t="inlineStr">
        <is>
          <t>Ground crew, rigging and drag-out</t>
        </is>
      </c>
      <c r="C14" s="12" t="n">
        <v>2</v>
      </c>
      <c r="D14" s="12" t="n">
        <v>7</v>
      </c>
    </row>
    <row r="15">
      <c r="B15" s="7" t="inlineStr">
        <is>
          <t>Cleanup and rake-out</t>
        </is>
      </c>
      <c r="C15" s="12" t="n">
        <v>2</v>
      </c>
      <c r="D15" s="12" t="n">
        <v>2</v>
      </c>
    </row>
    <row r="17">
      <c r="B17" s="13" t="inlineStr">
        <is>
          <t>Subtotal man hours</t>
        </is>
      </c>
      <c r="D17" s="14">
        <f>C13*D13+C14*D14+C15*D15</f>
        <v/>
      </c>
    </row>
    <row r="18">
      <c r="B18" s="7" t="inlineStr">
        <is>
          <t>The 30% you are wrong by</t>
        </is>
      </c>
      <c r="C18" s="15" t="n">
        <v>0.3</v>
      </c>
      <c r="D18" s="16">
        <f>D17*C18</f>
        <v/>
      </c>
    </row>
    <row r="19">
      <c r="B19" s="13" t="inlineStr">
        <is>
          <t>Billable man hours</t>
        </is>
      </c>
      <c r="D19" s="14">
        <f>D17+D18</f>
        <v/>
      </c>
    </row>
    <row r="20">
      <c r="B20" s="7" t="inlineStr">
        <is>
          <t>Your loaded rate per man hour</t>
        </is>
      </c>
      <c r="D20" s="17" t="n">
        <v>65</v>
      </c>
    </row>
    <row r="21">
      <c r="B21" s="13" t="inlineStr">
        <is>
          <t>LABOR</t>
        </is>
      </c>
      <c r="E21" s="18">
        <f>D19*D20</f>
        <v/>
      </c>
    </row>
    <row r="23" ht="22" customHeight="1">
      <c r="B23" s="5" t="inlineStr">
        <is>
          <t>2 . ACCESS</t>
        </is>
      </c>
      <c r="C23" s="6" t="n"/>
      <c r="D23" s="6" t="n"/>
      <c r="E23" s="6" t="n"/>
      <c r="G23" s="2" t="inlineStr">
        <is>
          <t>ACCESS IS THE NUMBER THAT SURPRISES PEOPLE</t>
        </is>
      </c>
    </row>
    <row r="24">
      <c r="B24" s="7" t="inlineStr">
        <is>
          <t>Access difficulty</t>
        </is>
      </c>
      <c r="D24" s="19" t="n">
        <v>1.25</v>
      </c>
      <c r="G24" s="4" t="inlineStr">
        <is>
          <t>Can a truck get to it? Can the chipper get</t>
        </is>
      </c>
    </row>
    <row r="25">
      <c r="B25" s="13" t="inlineStr">
        <is>
          <t>Adjusted labor</t>
        </is>
      </c>
      <c r="E25" s="18">
        <f>E21*D24</f>
        <v/>
      </c>
      <c r="G25" s="4" t="inlineStr">
        <is>
          <t>to it? Or is every piece getting carried 100</t>
        </is>
      </c>
    </row>
    <row r="26">
      <c r="G26" s="4" t="inlineStr">
        <is>
          <t>feet to the road by hand?</t>
        </is>
      </c>
    </row>
    <row r="27" ht="22" customHeight="1">
      <c r="B27" s="5" t="inlineStr">
        <is>
          <t>3 . WHAT IS UNDERNEATH IT</t>
        </is>
      </c>
      <c r="C27" s="6" t="n"/>
      <c r="D27" s="6" t="n"/>
      <c r="E27" s="6" t="n"/>
      <c r="G27" s="2" t="inlineStr">
        <is>
          <t>RISK SETS THE PRICE</t>
        </is>
      </c>
    </row>
    <row r="28">
      <c r="B28" s="7" t="inlineStr">
        <is>
          <t>Over a structure (house, carport, shed)</t>
        </is>
      </c>
      <c r="D28" s="17" t="n">
        <v>450</v>
      </c>
      <c r="G28" s="4" t="inlineStr">
        <is>
          <t>That is not a tree. That is a tree over a roof,</t>
        </is>
      </c>
    </row>
    <row r="29">
      <c r="B29" s="7" t="inlineStr">
        <is>
          <t>Over or near power / service drop</t>
        </is>
      </c>
      <c r="D29" s="17" t="n">
        <v>350</v>
      </c>
      <c r="G29" s="4" t="inlineStr">
        <is>
          <t>a fence and a gas meter.</t>
        </is>
      </c>
    </row>
    <row r="30">
      <c r="B30" s="7" t="inlineStr">
        <is>
          <t>Over a fence, pool, septic, or landscaping</t>
        </is>
      </c>
      <c r="D30" s="17" t="n">
        <v>150</v>
      </c>
      <c r="G30" s="4" t="inlineStr"/>
    </row>
    <row r="31">
      <c r="B31" s="7" t="inlineStr">
        <is>
          <t>Dead, hollow, or storm-damaged</t>
        </is>
      </c>
      <c r="D31" s="17" t="n">
        <v>250</v>
      </c>
      <c r="G31" s="4" t="inlineStr">
        <is>
          <t>Add a line for every single thing you cannot</t>
        </is>
      </c>
    </row>
    <row r="32">
      <c r="B32" s="7" t="inlineStr">
        <is>
          <t>Technical rigging / no drop zone</t>
        </is>
      </c>
      <c r="D32" s="17" t="n">
        <v>300</v>
      </c>
      <c r="G32" s="4" t="inlineStr">
        <is>
          <t>hit. If you would not sleep the night before,</t>
        </is>
      </c>
    </row>
    <row r="33">
      <c r="B33" s="13" t="inlineStr">
        <is>
          <t>RISK TOTAL</t>
        </is>
      </c>
      <c r="E33" s="18">
        <f>SUM(D28:D32)</f>
        <v/>
      </c>
      <c r="G33" s="4" t="inlineStr">
        <is>
          <t>the number is too low.</t>
        </is>
      </c>
    </row>
    <row r="34">
      <c r="G34" s="2" t="inlineStr">
        <is>
          <t>MOST GUYS GIVE THIS AWAY FREE</t>
        </is>
      </c>
    </row>
    <row r="35" ht="22" customHeight="1">
      <c r="B35" s="5" t="inlineStr">
        <is>
          <t>4 . DEBRIS</t>
        </is>
      </c>
      <c r="C35" s="6" t="n"/>
      <c r="D35" s="6" t="n"/>
      <c r="E35" s="6" t="n"/>
      <c r="G35" s="4" t="inlineStr">
        <is>
          <t>Where does the wood go? Chip it, haul it,</t>
        </is>
      </c>
    </row>
    <row r="36">
      <c r="B36" s="7" t="inlineStr">
        <is>
          <t>Chipper loads</t>
        </is>
      </c>
      <c r="C36" s="12" t="n">
        <v>3</v>
      </c>
      <c r="D36" s="20" t="inlineStr">
        <is>
          <t>x</t>
        </is>
      </c>
      <c r="E36" s="17" t="n">
        <v>85</v>
      </c>
      <c r="G36" s="4" t="inlineStr">
        <is>
          <t>or leave it stacked.</t>
        </is>
      </c>
    </row>
    <row r="37">
      <c r="B37" s="7" t="inlineStr">
        <is>
          <t>Log truck / haul-off loads</t>
        </is>
      </c>
      <c r="C37" s="12" t="n">
        <v>1</v>
      </c>
      <c r="D37" s="20" t="inlineStr">
        <is>
          <t>x</t>
        </is>
      </c>
      <c r="E37" s="17" t="n">
        <v>300</v>
      </c>
      <c r="G37" s="4" t="inlineStr"/>
    </row>
    <row r="38">
      <c r="B38" s="7" t="inlineStr">
        <is>
          <t>Dump / tipping fees</t>
        </is>
      </c>
      <c r="E38" s="17" t="n">
        <v>120</v>
      </c>
      <c r="G38" s="4" t="inlineStr">
        <is>
          <t>Dump fees and haul time are real money.</t>
        </is>
      </c>
    </row>
    <row r="39">
      <c r="B39" s="7" t="inlineStr">
        <is>
          <t>Stump grinding (per stump)</t>
        </is>
      </c>
      <c r="C39" s="12" t="n">
        <v>3</v>
      </c>
      <c r="D39" s="20" t="inlineStr">
        <is>
          <t>x</t>
        </is>
      </c>
      <c r="E39" s="17" t="n">
        <v>150</v>
      </c>
      <c r="G39" s="4" t="inlineStr">
        <is>
          <t>Charge for them or you are working for free</t>
        </is>
      </c>
    </row>
    <row r="40">
      <c r="B40" s="13" t="inlineStr">
        <is>
          <t>DEBRIS TOTAL</t>
        </is>
      </c>
      <c r="E40" s="18">
        <f>C36*E36+C37*E37+E38+C39*E39</f>
        <v/>
      </c>
      <c r="G40" s="4" t="inlineStr">
        <is>
          <t>for two hours at the end of every job.</t>
        </is>
      </c>
    </row>
    <row r="42" ht="22" customHeight="1">
      <c r="B42" s="5" t="inlineStr">
        <is>
          <t>5 . RENTED EQUIPMENT</t>
        </is>
      </c>
      <c r="C42" s="6" t="n"/>
      <c r="D42" s="6" t="n"/>
      <c r="E42" s="6" t="n"/>
    </row>
    <row r="43">
      <c r="B43" s="7" t="inlineStr">
        <is>
          <t>Aerial lift / bucket (day rate)</t>
        </is>
      </c>
      <c r="E43" s="17" t="n">
        <v>0</v>
      </c>
    </row>
    <row r="44">
      <c r="B44" s="7" t="inlineStr">
        <is>
          <t>Crane (day rate + operator)</t>
        </is>
      </c>
      <c r="E44" s="17" t="n">
        <v>0</v>
      </c>
    </row>
    <row r="45">
      <c r="B45" s="7" t="inlineStr">
        <is>
          <t>Traffic control / permits</t>
        </is>
      </c>
      <c r="E45" s="17" t="n">
        <v>0</v>
      </c>
    </row>
    <row r="46">
      <c r="B46" s="13" t="inlineStr">
        <is>
          <t>EQUIPMENT TOTAL</t>
        </is>
      </c>
      <c r="E46" s="18">
        <f>SUM(E43:E45)</f>
        <v/>
      </c>
    </row>
    <row r="48" ht="22" customHeight="1">
      <c r="B48" s="5" t="inlineStr">
        <is>
          <t>THE NUMBER</t>
        </is>
      </c>
      <c r="C48" s="6" t="n"/>
      <c r="D48" s="6" t="n"/>
      <c r="E48" s="6" t="n"/>
    </row>
    <row r="49">
      <c r="B49" s="13" t="inlineStr">
        <is>
          <t>Direct cost</t>
        </is>
      </c>
      <c r="E49" s="21">
        <f>E25+E33+E40+E46</f>
        <v/>
      </c>
    </row>
    <row r="50">
      <c r="B50" s="7" t="inlineStr">
        <is>
          <t>Overhead</t>
        </is>
      </c>
      <c r="D50" s="15" t="n">
        <v>0.22</v>
      </c>
      <c r="E50" s="22">
        <f>E49*D50</f>
        <v/>
      </c>
    </row>
    <row r="51">
      <c r="B51" s="7" t="inlineStr">
        <is>
          <t>Profit</t>
        </is>
      </c>
      <c r="D51" s="15" t="n">
        <v>0.2</v>
      </c>
      <c r="E51" s="22">
        <f>(E49+E50)*D51</f>
        <v/>
      </c>
    </row>
    <row r="53" ht="30" customHeight="1">
      <c r="B53" s="23" t="inlineStr">
        <is>
          <t>QUOTE THE CUSTOMER</t>
        </is>
      </c>
      <c r="D53" s="24" t="n"/>
      <c r="E53" s="25">
        <f>ROUND((E49+E50+E51)/25,0)*25</f>
        <v/>
      </c>
    </row>
    <row r="55">
      <c r="B55" s="13" t="inlineStr">
        <is>
          <t>Deposit to collect before a saw comes off the trailer</t>
        </is>
      </c>
      <c r="D55" s="15" t="n">
        <v>0.5</v>
      </c>
      <c r="E55" s="18">
        <f>E53*D55</f>
        <v/>
      </c>
    </row>
    <row r="56">
      <c r="B56" s="7" t="inlineStr">
        <is>
          <t>Balance due on completion</t>
        </is>
      </c>
      <c r="E56" s="22">
        <f>E53-E55</f>
        <v/>
      </c>
    </row>
    <row r="58">
      <c r="B58" s="7" t="inlineStr">
        <is>
          <t>Effective rate per billable man hour</t>
        </is>
      </c>
      <c r="E58" s="22">
        <f>IFERROR(E53/D19,0)</f>
        <v/>
      </c>
    </row>
    <row r="59">
      <c r="B59" s="3" t="inlineStr">
        <is>
          <t>If that number is below your loaded rate, something above is wrong.</t>
        </is>
      </c>
    </row>
    <row r="61">
      <c r="B61" s="26" t="inlineStr">
        <is>
          <t>Send it today. Not tonight, not tomorrow. Same day is the part that wins the job.</t>
        </is>
      </c>
    </row>
    <row r="63">
      <c r="B63" s="4" t="inlineStr">
        <is>
          <t>Built by Appalachian-style tree operators. Free forever. Share it with your crew.</t>
        </is>
      </c>
    </row>
  </sheetData>
  <mergeCells count="14">
    <mergeCell ref="B23:E23"/>
    <mergeCell ref="B27:E27"/>
    <mergeCell ref="B35:E35"/>
    <mergeCell ref="C8:E8"/>
    <mergeCell ref="C9:E9"/>
    <mergeCell ref="B48:E48"/>
    <mergeCell ref="B11:E11"/>
    <mergeCell ref="B3:E3"/>
    <mergeCell ref="B5:E5"/>
    <mergeCell ref="B2:E2"/>
    <mergeCell ref="C7:E7"/>
    <mergeCell ref="B42:E42"/>
    <mergeCell ref="B53:C53"/>
    <mergeCell ref="C6:E6"/>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B2:B66"/>
  <sheetViews>
    <sheetView showGridLines="0" workbookViewId="0">
      <selection activeCell="A1" sqref="A1"/>
    </sheetView>
  </sheetViews>
  <sheetFormatPr baseColWidth="8" defaultRowHeight="15"/>
  <cols>
    <col width="3" customWidth="1" min="1" max="1"/>
    <col width="95" customWidth="1" min="2" max="2"/>
  </cols>
  <sheetData>
    <row r="2">
      <c r="B2" s="27" t="inlineStr">
        <is>
          <t>HOW TO PRICE A TREE JOB IN 3 MINUTES</t>
        </is>
      </c>
    </row>
    <row r="3">
      <c r="B3" s="28" t="inlineStr"/>
    </row>
    <row r="4">
      <c r="B4" s="29" t="inlineStr">
        <is>
          <t>Most guys quote off feeling. That is why they are either broke or they lose every bid.</t>
        </is>
      </c>
    </row>
    <row r="5">
      <c r="B5" s="28" t="inlineStr">
        <is>
          <t>There are only four numbers. Everything else is noise.</t>
        </is>
      </c>
    </row>
    <row r="6">
      <c r="B6" s="28" t="inlineStr"/>
    </row>
    <row r="7">
      <c r="B7" s="30" t="inlineStr">
        <is>
          <t>1. MAN HOURS</t>
        </is>
      </c>
    </row>
    <row r="8">
      <c r="B8" s="28" t="inlineStr">
        <is>
          <t>How many guys, how many hours. Then add 30 percent, because you are wrong.</t>
        </is>
      </c>
    </row>
    <row r="9">
      <c r="B9" s="28" t="inlineStr">
        <is>
          <t>You are always optimistic. Every job finds something you did not see from the driveway.</t>
        </is>
      </c>
    </row>
    <row r="10">
      <c r="B10" s="28" t="inlineStr"/>
    </row>
    <row r="11">
      <c r="B11" s="28" t="inlineStr">
        <is>
          <t>Use your LOADED rate, not the wage. Loaded means wage plus payroll tax plus workers</t>
        </is>
      </c>
    </row>
    <row r="12">
      <c r="B12" s="28" t="inlineStr">
        <is>
          <t>comp plus benefits. For most tree companies that is 1.4x to 1.9x what the guy takes home.</t>
        </is>
      </c>
    </row>
    <row r="13">
      <c r="B13" s="28" t="inlineStr">
        <is>
          <t>If you bill at the wage you are losing money on every hour you sell.</t>
        </is>
      </c>
    </row>
    <row r="14">
      <c r="B14" s="28" t="inlineStr"/>
    </row>
    <row r="15">
      <c r="B15" s="30" t="inlineStr">
        <is>
          <t>2. ACCESS</t>
        </is>
      </c>
    </row>
    <row r="16">
      <c r="B16" s="28" t="inlineStr">
        <is>
          <t>Can a truck get to it. Can the chipper get to it. Or is every piece getting carried</t>
        </is>
      </c>
    </row>
    <row r="17">
      <c r="B17" s="28" t="inlineStr">
        <is>
          <t>a hundred feet to the road by hand.</t>
        </is>
      </c>
    </row>
    <row r="18">
      <c r="B18" s="28" t="inlineStr"/>
    </row>
    <row r="19">
      <c r="B19" s="28" t="inlineStr">
        <is>
          <t>Access is the number that surprises people and it can double a job. It is a multiplier,</t>
        </is>
      </c>
    </row>
    <row r="20">
      <c r="B20" s="28" t="inlineStr">
        <is>
          <t>not an add-on, because bad access slows down every single hour, not just some of them.</t>
        </is>
      </c>
    </row>
    <row r="21">
      <c r="B21" s="28" t="inlineStr"/>
    </row>
    <row r="22">
      <c r="B22" s="31" t="inlineStr">
        <is>
          <t xml:space="preserve">   1.00   Truck and chipper park underneath it</t>
        </is>
      </c>
    </row>
    <row r="23">
      <c r="B23" s="31" t="inlineStr">
        <is>
          <t xml:space="preserve">   1.25   Some carrying, a tight gate, a slope</t>
        </is>
      </c>
    </row>
    <row r="24">
      <c r="B24" s="31" t="inlineStr">
        <is>
          <t xml:space="preserve">   1.50   Everything hand-carried a long way</t>
        </is>
      </c>
    </row>
    <row r="25">
      <c r="B25" s="31" t="inlineStr">
        <is>
          <t xml:space="preserve">   2.00   Backyard, no gate access, carry every piece</t>
        </is>
      </c>
    </row>
    <row r="26">
      <c r="B26" s="28" t="inlineStr"/>
    </row>
    <row r="27">
      <c r="B27" s="30" t="inlineStr">
        <is>
          <t>3. WHAT IS UNDERNEATH IT</t>
        </is>
      </c>
    </row>
    <row r="28">
      <c r="B28" s="28" t="inlineStr">
        <is>
          <t>That is not a tree. That is a tree over a roof, a fence and a gas meter.</t>
        </is>
      </c>
    </row>
    <row r="29">
      <c r="B29" s="28" t="inlineStr">
        <is>
          <t>What is underneath sets the risk, and the risk sets the price.</t>
        </is>
      </c>
    </row>
    <row r="30">
      <c r="B30" s="28" t="inlineStr"/>
    </row>
    <row r="31">
      <c r="B31" s="28" t="inlineStr">
        <is>
          <t>Add a line for every single thing you cannot hit. If you would not sleep well the night</t>
        </is>
      </c>
    </row>
    <row r="32">
      <c r="B32" s="28" t="inlineStr">
        <is>
          <t>before, the number is too low. The dollar amounts in the sheet are a starting point.</t>
        </is>
      </c>
    </row>
    <row r="33">
      <c r="B33" s="28" t="inlineStr">
        <is>
          <t>Raise them until saying the price out loud stops bothering you.</t>
        </is>
      </c>
    </row>
    <row r="34">
      <c r="B34" s="28" t="inlineStr"/>
    </row>
    <row r="35">
      <c r="B35" s="30" t="inlineStr">
        <is>
          <t>4. DEBRIS</t>
        </is>
      </c>
    </row>
    <row r="36">
      <c r="B36" s="28" t="inlineStr">
        <is>
          <t>Where does the wood go. Chip it, haul it, or leave it stacked.</t>
        </is>
      </c>
    </row>
    <row r="37">
      <c r="B37" s="28" t="inlineStr"/>
    </row>
    <row r="38">
      <c r="B38" s="28" t="inlineStr">
        <is>
          <t>This is a real cost and most guys give it away for free. Dump fees, haul time, and the</t>
        </is>
      </c>
    </row>
    <row r="39">
      <c r="B39" s="28" t="inlineStr">
        <is>
          <t>two hours at the end of the day when everybody is tired. Charge for it.</t>
        </is>
      </c>
    </row>
    <row r="40">
      <c r="B40" s="28" t="inlineStr"/>
    </row>
    <row r="41">
      <c r="B41" s="30" t="inlineStr">
        <is>
          <t>OVERHEAD AND PROFIT</t>
        </is>
      </c>
    </row>
    <row r="42">
      <c r="B42" s="28" t="inlineStr">
        <is>
          <t>Overhead is insurance, truck payments, fuel, phone, the office, the stuff that costs money</t>
        </is>
      </c>
    </row>
    <row r="43">
      <c r="B43" s="28" t="inlineStr">
        <is>
          <t>whether you work that day or not. Take last year total overhead divided by last year</t>
        </is>
      </c>
    </row>
    <row r="44">
      <c r="B44" s="28" t="inlineStr">
        <is>
          <t>revenue. Most tree companies land between 15 and 30 percent. If you have never</t>
        </is>
      </c>
    </row>
    <row r="45">
      <c r="B45" s="28" t="inlineStr">
        <is>
          <t>calculated it, start at 22 percent and go work it out this week.</t>
        </is>
      </c>
    </row>
    <row r="46">
      <c r="B46" s="28" t="inlineStr"/>
    </row>
    <row r="47">
      <c r="B47" s="28" t="inlineStr">
        <is>
          <t>Profit is NOT your pay. Your pay is already in the labor line. Profit is what the company</t>
        </is>
      </c>
    </row>
    <row r="48">
      <c r="B48" s="28" t="inlineStr">
        <is>
          <t>keeps so it can buy a chipper without borrowing. Below 15 percent you are not running a</t>
        </is>
      </c>
    </row>
    <row r="49">
      <c r="B49" s="28" t="inlineStr">
        <is>
          <t>business, you are buying yourself a job.</t>
        </is>
      </c>
    </row>
    <row r="50">
      <c r="B50" s="28" t="inlineStr"/>
    </row>
    <row r="51">
      <c r="B51" s="30" t="inlineStr">
        <is>
          <t>THE TWO RULES THAT MATTER MORE THAN THE MATH</t>
        </is>
      </c>
    </row>
    <row r="52">
      <c r="B52" s="28" t="inlineStr"/>
    </row>
    <row r="53">
      <c r="B53" s="28" t="inlineStr">
        <is>
          <t>Send it the same day you walk the job. Not tonight. Not tomorrow. The guy who quotes</t>
        </is>
      </c>
    </row>
    <row r="54">
      <c r="B54" s="28" t="inlineStr">
        <is>
          <t>fastest wins more jobs than the guy who quotes lowest, and it is not close.</t>
        </is>
      </c>
    </row>
    <row r="55">
      <c r="B55" s="28" t="inlineStr"/>
    </row>
    <row r="56">
      <c r="B56" s="28" t="inlineStr">
        <is>
          <t>Collect 50 percent before a saw comes off the trailer. In writing, not a handshake.</t>
        </is>
      </c>
    </row>
    <row r="57">
      <c r="B57" s="28" t="inlineStr">
        <is>
          <t>If they will not put money down they were never going to pay you at the end either.</t>
        </is>
      </c>
    </row>
    <row r="58">
      <c r="B58" s="28" t="inlineStr"/>
    </row>
    <row r="59">
      <c r="B59" s="30" t="inlineStr">
        <is>
          <t>A FAIR WARNING</t>
        </is>
      </c>
    </row>
    <row r="60">
      <c r="B60" s="28" t="inlineStr">
        <is>
          <t>These are starting numbers, not your numbers. Your market, your insurance, your crew and</t>
        </is>
      </c>
    </row>
    <row r="61">
      <c r="B61" s="28" t="inlineStr">
        <is>
          <t>your equipment are different from mine. Run this sheet against three jobs you have</t>
        </is>
      </c>
    </row>
    <row r="62">
      <c r="B62" s="28" t="inlineStr">
        <is>
          <t>already finished and you know the real cost of. Adjust the rate, the access multiplier and</t>
        </is>
      </c>
    </row>
    <row r="63">
      <c r="B63" s="28" t="inlineStr">
        <is>
          <t>the overhead percent until it lands on what those jobs actually should have been.</t>
        </is>
      </c>
    </row>
    <row r="64">
      <c r="B64" s="28" t="inlineStr">
        <is>
          <t>Then trust it.</t>
        </is>
      </c>
    </row>
    <row r="65">
      <c r="B65" s="28" t="inlineStr"/>
    </row>
    <row r="66">
      <c r="B66" s="29" t="inlineStr">
        <is>
          <t>Free forever. Share it with anybody on your crew.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2026-09-21T15:24:58Z</dcterms:created>
  <dcterms:modified xsi:type="dcterms:W3CDTF">2026-09-21T15:24:58Z</dcterms:modified>
</cp:coreProperties>
</file>